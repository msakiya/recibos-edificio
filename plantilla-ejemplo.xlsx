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es a facturar" sheetId="1" r:id="rId1"/>
    <sheet name="Instrucciones" sheetId="2" r:id="rId2"/>
    <sheet name="Config" sheetId="3" r:id="rId3"/>
    <sheet name="Departamentos" sheetId="4" r:id="rId4"/>
    <sheet name="Lecturas" sheetId="5" r:id="rId5"/>
    <sheet name="Servicios" sheetId="6" r:id="rId6"/>
    <sheet name="Gastos" sheetId="7" r:id="rId7"/>
    <sheet name="Ajustes" sheetId="8" r:id="rId8"/>
    <sheet name="Fondo" sheetId="9" r:id="rId9"/>
    <sheet name="Pagos" sheetId="10" r:id="rId1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3"/>
  <sheetViews>
    <sheetView workbookViewId="0"/>
  </sheetViews>
  <cols>
    <col min="1" max="1" width="58.83203125" customWidth="1"/>
    <col min="2" max="2" width="30.83203125" customWidth="1"/>
    <col min="3" max="3" width="18.83203125" customWidth="1"/>
    <col min="4" max="4" width="40.83203125" customWidth="1"/>
    <col min="5" max="5" width="12.83203125" customWidth="1"/>
    <col min="6" max="6" width="24.83203125" customWidth="1"/>
  </cols>
  <sheetData>
    <row r="1">
      <c r="A1" t="str">
        <v>DATOS DEL MES A FACTURAR — llena esta pestaña cada mes y sube el Excel a la página</v>
      </c>
    </row>
    <row r="2">
      <c r="A2" t="str">
        <v>Solo cambia las celdas en blanco o con números. La página lee todo de aquí: no hay que escribir nada más en la página.</v>
      </c>
    </row>
    <row r="3">
      <c r="A3" t="str">
        <v/>
      </c>
    </row>
    <row r="4">
      <c r="A4" t="str">
        <v>Mes a facturar (AAAA-MM)</v>
      </c>
      <c r="B4" t="str">
        <v>2026-09</v>
      </c>
      <c r="C4" t="str">
        <v>Ej. 2026-10 para Octubre 2026. Cámbialo cada mes.</v>
      </c>
    </row>
    <row r="5">
      <c r="A5" t="str">
        <v>Agua (Sedapal): importe total del recibo (S/)</v>
      </c>
      <c r="B5">
        <v>679.4</v>
      </c>
      <c r="C5" t="str">
        <v>Monto total del recibo de agua del edificio.</v>
      </c>
    </row>
    <row r="6">
      <c r="A6" t="str">
        <v>Agua (Sedapal): m³ facturados</v>
      </c>
      <c r="B6">
        <v>154</v>
      </c>
      <c r="C6" t="str">
        <v>m³ que cobra el recibo de agua.</v>
      </c>
    </row>
    <row r="7">
      <c r="A7" t="str">
        <v>Luz (Luz del Sur): importe total del recibo (S/)</v>
      </c>
      <c r="B7">
        <v>510.4</v>
      </c>
      <c r="C7" t="str">
        <v>Monto total del recibo de luz de áreas comunes.</v>
      </c>
    </row>
    <row r="8">
      <c r="A8" t="str">
        <v>Fecha de emisión del recibo (DD/MM/AAAA)</v>
      </c>
      <c r="B8" t="str">
        <v/>
      </c>
      <c r="C8" t="str">
        <v>Opcional. Vacío = fecha del día en que generas.</v>
      </c>
    </row>
    <row r="9">
      <c r="A9" t="str">
        <v>Fecha de vencimiento (DD/MM/AAAA)</v>
      </c>
      <c r="B9" t="str">
        <v>05/10/2026</v>
      </c>
      <c r="C9" t="str">
        <v>Opcional. Vacío = día DIA_VENCIMIENTO del mes siguiente.</v>
      </c>
    </row>
    <row r="10">
      <c r="A10" t="str">
        <v>Fondo de contingencia: saldo anterior (S/)</v>
      </c>
      <c r="B10">
        <v>4097.67</v>
      </c>
      <c r="C10" t="str">
        <v>Ya viene calculado del mes anterior. Solo cámbialo si no coincide.</v>
      </c>
    </row>
    <row r="11">
      <c r="A11" t="str">
        <v>Fondo de contingencia: gastos pagados con el fondo este mes (S/)</v>
      </c>
      <c r="B11">
        <v>0</v>
      </c>
      <c r="C11" t="str">
        <v>Opcional. 0 si no se usó el fondo.</v>
      </c>
    </row>
    <row r="12">
      <c r="A12" t="str">
        <v>Fondo de contingencia: detalle de esos gastos</v>
      </c>
      <c r="B12" t="str">
        <v/>
      </c>
      <c r="C12" t="str">
        <v>Opcional.</v>
      </c>
    </row>
    <row r="13">
      <c r="A13" t="str">
        <v/>
      </c>
    </row>
    <row r="14">
      <c r="A14" t="str">
        <v>LECTURAS DE AGUA (m³) — escribe la lectura ACTUAL de cada medidor (columna D)</v>
      </c>
    </row>
    <row r="15">
      <c r="A15" t="str">
        <v>Dpto</v>
      </c>
      <c r="B15" t="str">
        <v>Propietario</v>
      </c>
      <c r="C15" t="str">
        <v>Lectura anterior</v>
      </c>
      <c r="D15" t="str">
        <v>Lectura actual</v>
      </c>
      <c r="E15" t="str">
        <v>Consumo m³</v>
      </c>
      <c r="F15" t="str">
        <v>Observación</v>
      </c>
    </row>
    <row r="16">
      <c r="A16">
        <v>101</v>
      </c>
      <c r="B16" t="str">
        <v>Juan Demo</v>
      </c>
      <c r="C16">
        <v>1281.328</v>
      </c>
      <c r="D16">
        <v>1290.107</v>
      </c>
      <c r="E16" t="e">
        <f>IF(D16="","",ROUND(D16-C16,3))</f>
      </c>
      <c r="F16" t="str">
        <v/>
      </c>
    </row>
    <row r="17">
      <c r="A17">
        <v>102</v>
      </c>
      <c r="B17" t="str">
        <v>María Ejemplo</v>
      </c>
      <c r="C17">
        <v>1690.315</v>
      </c>
      <c r="D17">
        <v>1727.609</v>
      </c>
      <c r="E17" t="e">
        <f>IF(D17="","",ROUND(D17-C17,3))</f>
      </c>
      <c r="F17" t="str">
        <v/>
      </c>
    </row>
    <row r="18">
      <c r="A18">
        <v>201</v>
      </c>
      <c r="B18" t="str">
        <v>Pedro Prueba</v>
      </c>
      <c r="C18">
        <v>39.858</v>
      </c>
      <c r="D18">
        <v>53.561</v>
      </c>
      <c r="E18" t="e">
        <f>IF(D18="","",ROUND(D18-C18,3))</f>
      </c>
      <c r="F18" t="str">
        <v/>
      </c>
    </row>
    <row r="19">
      <c r="A19">
        <v>202</v>
      </c>
      <c r="B19" t="str">
        <v>Lucía Sample</v>
      </c>
      <c r="C19">
        <v>674.427</v>
      </c>
      <c r="D19">
        <v>688.229</v>
      </c>
      <c r="E19" t="e">
        <f>IF(D19="","",ROUND(D19-C19,3))</f>
      </c>
      <c r="F19" t="str">
        <v/>
      </c>
    </row>
    <row r="20">
      <c r="A20">
        <v>301</v>
      </c>
      <c r="B20" t="str">
        <v>Carlos Ficticio</v>
      </c>
      <c r="C20">
        <v>459.125</v>
      </c>
      <c r="D20">
        <v>465.722</v>
      </c>
      <c r="E20" t="e">
        <f>IF(D20="","",ROUND(D20-C20,3))</f>
      </c>
      <c r="F20" t="str">
        <v/>
      </c>
    </row>
    <row r="21">
      <c r="A21">
        <v>302</v>
      </c>
      <c r="B21" t="str">
        <v>Sofía Modelo</v>
      </c>
      <c r="C21">
        <v>974.338</v>
      </c>
      <c r="D21">
        <v>993.461</v>
      </c>
      <c r="E21" t="e">
        <f>IF(D21="","",ROUND(D21-C21,3))</f>
      </c>
      <c r="F21" t="str">
        <v/>
      </c>
    </row>
    <row r="22">
      <c r="A22">
        <v>401</v>
      </c>
      <c r="B22" t="str">
        <v>Diego Ensayo</v>
      </c>
      <c r="C22">
        <v>1135.912</v>
      </c>
      <c r="D22">
        <v>1151.465</v>
      </c>
      <c r="E22" t="e">
        <f>IF(D22="","",ROUND(D22-C22,3))</f>
      </c>
      <c r="F22" t="str">
        <v/>
      </c>
    </row>
    <row r="23">
      <c r="A23">
        <v>402</v>
      </c>
      <c r="B23" t="str">
        <v>Elena Dummy</v>
      </c>
      <c r="C23">
        <v>291.616</v>
      </c>
      <c r="D23">
        <v>295.599</v>
      </c>
      <c r="E23" t="e">
        <f>IF(D23="","",ROUND(D23-C23,3))</f>
      </c>
      <c r="F23" t="str">
        <v/>
      </c>
    </row>
    <row r="24">
      <c r="A24">
        <v>501</v>
      </c>
      <c r="B24" t="str">
        <v>Miguel Test</v>
      </c>
      <c r="C24">
        <v>1802.587</v>
      </c>
      <c r="D24">
        <v>1827.461</v>
      </c>
      <c r="E24" t="e">
        <f>IF(D24="","",ROUND(D24-C24,3))</f>
      </c>
      <c r="F24" t="str">
        <v/>
      </c>
    </row>
    <row r="25">
      <c r="A25">
        <v>502</v>
      </c>
      <c r="B25" t="str">
        <v>Laura Muestra</v>
      </c>
      <c r="C25">
        <v>771.98</v>
      </c>
      <c r="D25">
        <v>776.69</v>
      </c>
      <c r="E25" t="e">
        <f>IF(D25="","",ROUND(D25-C25,3))</f>
      </c>
      <c r="F25" t="str">
        <v/>
      </c>
    </row>
    <row r="26">
      <c r="A26" t="str">
        <v/>
      </c>
    </row>
    <row r="27">
      <c r="A27" t="str">
        <v>GASTOS COMUNES DEL MES — monto TOTAL del edificio (la página lo divide entre los dptos)</v>
      </c>
    </row>
    <row r="28">
      <c r="A28" t="str">
        <v>Concepto (tal como sale en el recibo)</v>
      </c>
      <c r="B28" t="str">
        <v>Monto total (S/)</v>
      </c>
      <c r="C28" t="str">
        <v>Tipo</v>
      </c>
      <c r="D28" t="str">
        <v>Nota</v>
      </c>
    </row>
    <row r="29">
      <c r="A29" t="str">
        <v>Salario del personal</v>
      </c>
      <c r="B29">
        <v>1573.34</v>
      </c>
      <c r="C29" t="str">
        <v>FIJO</v>
      </c>
      <c r="D29" t="str">
        <v/>
      </c>
    </row>
    <row r="30">
      <c r="A30" t="str">
        <v>Consumo de luz</v>
      </c>
      <c r="B30" t="str">
        <v/>
      </c>
      <c r="C30" t="str">
        <v>LUZ</v>
      </c>
      <c r="D30" t="str">
        <v>Automático: usa el importe de luz de arriba</v>
      </c>
    </row>
    <row r="31">
      <c r="A31" t="str">
        <v>Mantenimiento de ascensor</v>
      </c>
      <c r="B31">
        <v>349.34</v>
      </c>
      <c r="C31" t="str">
        <v>FIJO</v>
      </c>
      <c r="D31" t="str">
        <v/>
      </c>
    </row>
    <row r="32">
      <c r="A32" t="str">
        <v>Jardinero / Mantenimiento de áreas verdes</v>
      </c>
      <c r="B32">
        <v>90</v>
      </c>
      <c r="C32" t="str">
        <v>FIJO</v>
      </c>
      <c r="D32" t="str">
        <v/>
      </c>
    </row>
    <row r="33">
      <c r="A33" t="str">
        <v>Agua común</v>
      </c>
      <c r="B33" t="str">
        <v/>
      </c>
      <c r="C33" t="str">
        <v>AGUA_COMUN</v>
      </c>
      <c r="D33" t="str">
        <v>Automático: se calcula con el agua</v>
      </c>
    </row>
    <row r="34">
      <c r="A34" t="str">
        <v>Fondo de contingencia</v>
      </c>
      <c r="B34">
        <v>800</v>
      </c>
      <c r="C34" t="str">
        <v>FONDO</v>
      </c>
      <c r="D34" t="str">
        <v>Aporte al fondo de contingencia</v>
      </c>
    </row>
    <row r="35">
      <c r="A35" t="str">
        <v>Recarga de celular conserje</v>
      </c>
      <c r="B35">
        <v>5</v>
      </c>
      <c r="C35" t="str">
        <v>FIJO</v>
      </c>
      <c r="D35" t="str">
        <v/>
      </c>
    </row>
    <row r="36">
      <c r="A36" t="str">
        <v>Domingos - días (6,13,20,27)</v>
      </c>
      <c r="B36">
        <v>200</v>
      </c>
      <c r="C36" t="str">
        <v>FIJO</v>
      </c>
      <c r="D36" t="str">
        <v/>
      </c>
    </row>
    <row r="37">
      <c r="A37" t="str">
        <v>Mantenimiento de elevador discapacitados</v>
      </c>
      <c r="B37">
        <v>200</v>
      </c>
      <c r="C37" t="str">
        <v>EXTRA</v>
      </c>
      <c r="D37" t="str">
        <v>Solo este mes</v>
      </c>
    </row>
    <row r="38">
      <c r="A38" t="str">
        <v>Compra de temporizador con base para tablero de mando (elevador discapacitados)</v>
      </c>
      <c r="B38">
        <v>400</v>
      </c>
      <c r="C38" t="str">
        <v>EXTRA</v>
      </c>
      <c r="D38" t="str">
        <v>Solo este mes</v>
      </c>
    </row>
    <row r="39">
      <c r="A39" t="str">
        <v>Gasfitero (desmontaje e instalación de inodoro baño semisotano conserje) por atoro, se cambio pernos de anclaje, anillo de cera con silicona</v>
      </c>
      <c r="B39">
        <v>180</v>
      </c>
      <c r="C39" t="str">
        <v>EXTRA</v>
      </c>
      <c r="D39" t="str">
        <v>Solo este mes</v>
      </c>
    </row>
    <row r="40">
      <c r="A40" t="str">
        <v>Materiales de limpieza</v>
      </c>
      <c r="B40">
        <v>0</v>
      </c>
      <c r="C40" t="str">
        <v>FIJO</v>
      </c>
      <c r="D40" t="str">
        <v/>
      </c>
    </row>
    <row r="41">
      <c r="A41" t="str">
        <v/>
      </c>
      <c r="B41" t="str">
        <v/>
      </c>
      <c r="C41" t="str">
        <v>EXTRA</v>
      </c>
      <c r="D41" t="str">
        <v>← filas libres: escribe concepto y monto de un gasto EXTRA de este mes</v>
      </c>
    </row>
    <row r="42">
      <c r="A42" t="str">
        <v/>
      </c>
      <c r="B42" t="str">
        <v/>
      </c>
      <c r="C42" t="str">
        <v>EXTRA</v>
      </c>
      <c r="D42" t="str">
        <v/>
      </c>
    </row>
    <row r="43">
      <c r="A43" t="str">
        <v/>
      </c>
      <c r="B43" t="str">
        <v/>
      </c>
      <c r="C43" t="str">
        <v>EXTRA</v>
      </c>
      <c r="D43" t="str">
        <v/>
      </c>
    </row>
    <row r="44">
      <c r="A44" t="str">
        <v/>
      </c>
    </row>
    <row r="45">
      <c r="A45" t="str">
        <v>AJUSTES / CRÉDITOS (opcional) — monto negativo = crédito a favor (ej. -5)</v>
      </c>
    </row>
    <row r="46">
      <c r="A46" t="str">
        <v>Dpto</v>
      </c>
      <c r="B46" t="str">
        <v>Concepto (sale en el recibo)</v>
      </c>
      <c r="C46" t="str">
        <v>Monto (S/)</v>
      </c>
    </row>
    <row r="47">
      <c r="A47">
        <v>501</v>
      </c>
      <c r="B47" t="str">
        <v>Crédito a favor</v>
      </c>
      <c r="C47">
        <v>-5</v>
      </c>
    </row>
    <row r="48">
      <c r="A48" t="str">
        <v/>
      </c>
      <c r="B48" t="str">
        <v/>
      </c>
      <c r="C48" t="str">
        <v/>
      </c>
    </row>
    <row r="49">
      <c r="A49" t="str">
        <v/>
      </c>
      <c r="B49" t="str">
        <v/>
      </c>
      <c r="C49" t="str">
        <v/>
      </c>
    </row>
    <row r="50">
      <c r="A50" t="str">
        <v/>
      </c>
      <c r="B50" t="str">
        <v/>
      </c>
      <c r="C50" t="str">
        <v/>
      </c>
    </row>
    <row r="51">
      <c r="A51" t="str">
        <v/>
      </c>
      <c r="B51" t="str">
        <v/>
      </c>
      <c r="C51" t="str">
        <v/>
      </c>
    </row>
    <row r="52">
      <c r="A52" t="str">
        <v/>
      </c>
    </row>
    <row r="53">
      <c r="A53" t="str">
        <v>TIPOS de gasto: FIJO (se repite cada mes) · EXTRA (solo este mes) · FONDO (aporte al fondo) · LUZ y AGUA_COMUN (se calculan solos, deja el monto vacío).</v>
      </c>
    </row>
  </sheetData>
  <ignoredErrors>
    <ignoredError numberStoredAsText="1" sqref="A1:F5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18"/>
  <sheetViews>
    <sheetView workbookViewId="0"/>
  </sheetViews>
  <cols>
    <col min="1" max="1" width="120.83203125" customWidth="1"/>
  </cols>
  <sheetData>
    <row r="1">
      <c r="A1" t="str">
        <v>RECIBOS DEL EDIFICIO — cómo usar este Excel</v>
      </c>
    </row>
    <row r="2">
      <c r="A2" t="str">
        <v/>
      </c>
    </row>
    <row r="3">
      <c r="A3" t="str">
        <v>1. Este archivo es la "base de datos". Guárdalo en tu Drive o en tu computadora y NO lo pierdas.</v>
      </c>
    </row>
    <row r="4">
      <c r="A4" t="str">
        <v>2. Cada mes llena SOLO la pestaña "Mes a facturar": mes, recibo de agua (S/ y m³), recibo de luz, lecturas actuales de los medidores, gastos y créditos.</v>
      </c>
    </row>
    <row r="5">
      <c r="A5" t="str">
        <v>3. Abre la página de recibos y sube este Excel. La página muestra un resumen para revisar (no hay que escribir nada en la página).</v>
      </c>
    </row>
    <row r="6">
      <c r="A6" t="str">
        <v>4. Sube las fotos y pulsa "Generar recibos": se descarga un ZIP con los PDF y este Excel ACTUALIZADO, con la pestaña "Mes a facturar" lista para el mes siguiente.</v>
      </c>
    </row>
    <row r="7">
      <c r="A7" t="str">
        <v xml:space="preserve">   Guarda el Excel nuevo en lugar de este.</v>
      </c>
    </row>
    <row r="8">
      <c r="A8" t="str">
        <v/>
      </c>
    </row>
    <row r="9">
      <c r="A9" t="str">
        <v>Pestañas:</v>
      </c>
    </row>
    <row r="10">
      <c r="A10" t="str">
        <v xml:space="preserve">  Mes a facturar: lo único que se llena cada mes.</v>
      </c>
    </row>
    <row r="11">
      <c r="A11" t="str">
        <v xml:space="preserve">  Config: datos del edificio (presidente, tesorero, banco, cuenta, CCI, día de vencimiento...). Cambia solo la columna B.</v>
      </c>
    </row>
    <row r="12">
      <c r="A12" t="str">
        <v xml:space="preserve">  Departamentos: un renglón por departamento (unidad, propietario y correo; si hay varios correos, sepáralos con coma).</v>
      </c>
    </row>
    <row r="13">
      <c r="A13" t="str">
        <v xml:space="preserve">  Lecturas, Servicios, Gastos, Ajustes, Fondo: historial de los meses ya generados (la página los llena sola; no hace falta tocarlos).</v>
      </c>
    </row>
    <row r="14">
      <c r="A14" t="str">
        <v xml:space="preserve">  Tipos de gasto: FIJO, EXTRA (no se repite), FONDO (aporte al fondo de contingencia), LUZ (= recibo de luz), AGUA_COMUN (se calcula solo).</v>
      </c>
    </row>
    <row r="15">
      <c r="A15" t="str">
        <v xml:space="preserve">  Logo: lo llena la página si subes el logo. No la edites.</v>
      </c>
    </row>
    <row r="16">
      <c r="A16" t="str">
        <v/>
      </c>
    </row>
    <row r="17">
      <c r="A17" t="str">
        <v>Cálculo: cada gasto se divide entre el número de dptos; el agua de cada dpto = consumo × (monto del recibo de agua ÷ m³ facturados);</v>
      </c>
    </row>
    <row r="18">
      <c r="A18" t="str">
        <v>el agua común = (m³ del recibo − m³ de los dptos) × precio; el céntimo de redondeo del agua va al dpto de mayor consumo.</v>
      </c>
    </row>
  </sheetData>
  <ignoredErrors>
    <ignoredError numberStoredAsText="1" sqref="A1:A1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C19"/>
  <sheetViews>
    <sheetView workbookViewId="0"/>
  </sheetViews>
  <cols>
    <col min="1" max="1" width="24.83203125" customWidth="1"/>
    <col min="2" max="2" width="50.83203125" customWidth="1"/>
    <col min="3" max="3" width="70.83203125" customWidth="1"/>
  </cols>
  <sheetData>
    <row r="1">
      <c r="A1" t="str">
        <v>Clave (no cambiar)</v>
      </c>
      <c r="B1" t="str">
        <v>Valor (editable)</v>
      </c>
      <c r="C1" t="str">
        <v>Descripción</v>
      </c>
    </row>
    <row r="2">
      <c r="A2" t="str">
        <v>EDIFICIO_NOMBRE</v>
      </c>
      <c r="B2" t="str">
        <v>EDIFICIO EJEMPLO</v>
      </c>
      <c r="C2" t="str">
        <v>Nombre que aparece en el encabezado del recibo</v>
      </c>
    </row>
    <row r="3">
      <c r="A3" t="str">
        <v>DIRECCION_LINEA_1</v>
      </c>
      <c r="B3" t="str">
        <v>Dirección: Av. Los Olivos N°123 /</v>
      </c>
      <c r="C3" t="str">
        <v>Dirección, primera línea</v>
      </c>
    </row>
    <row r="4">
      <c r="A4" t="str">
        <v>DIRECCION_LINEA_2</v>
      </c>
      <c r="B4" t="str">
        <v>Urb. Las Flores. Lima</v>
      </c>
      <c r="C4" t="str">
        <v>Dirección, segunda línea (distrito)</v>
      </c>
    </row>
    <row r="5">
      <c r="A5" t="str">
        <v>PRESIDENTE_NOMBRE</v>
      </c>
      <c r="B5" t="str">
        <v>Ana Pérez</v>
      </c>
      <c r="C5" t="str">
        <v>Presidente(a) de la junta</v>
      </c>
    </row>
    <row r="6">
      <c r="A6" t="str">
        <v>PRESIDENTE_CELULAR</v>
      </c>
      <c r="B6" t="str">
        <v>999000111</v>
      </c>
      <c r="C6" t="str">
        <v>Celular / WhatsApp del presidente(a)</v>
      </c>
    </row>
    <row r="7">
      <c r="A7" t="str">
        <v>TESORERO_NOMBRE</v>
      </c>
      <c r="B7" t="str">
        <v>Luis Gómez</v>
      </c>
      <c r="C7" t="str">
        <v>Tesorero(a)</v>
      </c>
    </row>
    <row r="8">
      <c r="A8" t="str">
        <v>TESORERO_CELULAR</v>
      </c>
      <c r="B8" t="str">
        <v>999000222</v>
      </c>
      <c r="C8" t="str">
        <v>Celular / WhatsApp del tesorero(a)</v>
      </c>
    </row>
    <row r="9">
      <c r="A9" t="str">
        <v>BANCO</v>
      </c>
      <c r="B9" t="str">
        <v>BCP</v>
      </c>
      <c r="C9" t="str">
        <v>Banco de la cuenta del edificio</v>
      </c>
    </row>
    <row r="10">
      <c r="A10" t="str">
        <v>CUENTA_BANCARIA</v>
      </c>
      <c r="B10" t="str">
        <v>19100000000000</v>
      </c>
      <c r="C10" t="str">
        <v>Número de cuenta</v>
      </c>
    </row>
    <row r="11">
      <c r="A11" t="str">
        <v>CCI</v>
      </c>
      <c r="B11" t="str">
        <v>00219100000000000000</v>
      </c>
      <c r="C11" t="str">
        <v>Código de cuenta interbancario</v>
      </c>
    </row>
    <row r="12">
      <c r="A12" t="str">
        <v>NOTA_PAGO</v>
      </c>
      <c r="B12" t="str">
        <v>Por favor, envíe su comprobante de pago al tesorero vía WhatsApp indicando su número de departamento.</v>
      </c>
      <c r="C12" t="str">
        <v>Nota que sale junto a los datos de pago</v>
      </c>
    </row>
    <row r="13">
      <c r="A13" t="str">
        <v>CORREO_NOMBRE_EDIFICIO</v>
      </c>
      <c r="B13" t="str">
        <v/>
      </c>
      <c r="C13" t="str">
        <v>Opcional: nombre en el encabezado del correo (vacío = "Edificio" + nombre del edificio)</v>
      </c>
    </row>
    <row r="14">
      <c r="A14" t="str">
        <v>EMPRESA_AGUA</v>
      </c>
      <c r="B14" t="str">
        <v>Sedapal</v>
      </c>
      <c r="C14" t="str">
        <v>Empresa de agua (ej. Sedapal)</v>
      </c>
    </row>
    <row r="15">
      <c r="A15" t="str">
        <v>EMPRESA_LUZ</v>
      </c>
      <c r="B15" t="str">
        <v>Luz del Sur</v>
      </c>
      <c r="C15" t="str">
        <v>Empresa de luz (ej. Luz del Sur)</v>
      </c>
    </row>
    <row r="16">
      <c r="A16" t="str">
        <v>NUM_DPTOS</v>
      </c>
      <c r="B16">
        <v>10</v>
      </c>
      <c r="C16" t="str">
        <v>Número de departamentos entre los que se dividen los gastos (vacío = los de la pestaña Departamentos)</v>
      </c>
    </row>
    <row r="17">
      <c r="A17" t="str">
        <v>DIA_VENCIMIENTO</v>
      </c>
      <c r="B17">
        <v>5</v>
      </c>
      <c r="C17" t="str">
        <v>Día del mes siguiente en que vence el recibo (ej. 5)</v>
      </c>
    </row>
    <row r="18">
      <c r="A18" t="str">
        <v>SALDO_INICIAL_FONDO</v>
      </c>
      <c r="B18">
        <v>4097.67</v>
      </c>
      <c r="C18" t="str">
        <v>Saldo del fondo de contingencia antes del primer mes registrado</v>
      </c>
    </row>
    <row r="19">
      <c r="A19" t="str">
        <v>LOGO_BASE64</v>
      </c>
      <c r="B19" t="str">
        <v/>
      </c>
      <c r="C19" t="str">
        <v>Opcional: logo como texto base64 (más fácil: súbelo en la página y se guarda en la pestaña Logo)</v>
      </c>
    </row>
  </sheetData>
  <ignoredErrors>
    <ignoredError numberStoredAsText="1" sqref="A1:C1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E11"/>
  <sheetViews>
    <sheetView workbookViewId="0"/>
  </sheetViews>
  <cols>
    <col min="1" max="1" width="8.83203125" customWidth="1"/>
    <col min="2" max="2" width="40.83203125" customWidth="1"/>
    <col min="3" max="3" width="18.83203125" customWidth="1"/>
    <col min="4" max="4" width="28.83203125" customWidth="1"/>
    <col min="5" max="5" width="30.83203125" customWidth="1"/>
  </cols>
  <sheetData>
    <row r="1">
      <c r="A1" t="str">
        <v>Unidad</v>
      </c>
      <c r="B1" t="str">
        <v>Propietario</v>
      </c>
      <c r="C1" t="str">
        <v>Celular / WhatsApp</v>
      </c>
      <c r="D1" t="str">
        <v>Correo(s) del propietario (varios: separar con coma)</v>
      </c>
      <c r="E1" t="str">
        <v>Notas</v>
      </c>
    </row>
    <row r="2">
      <c r="A2">
        <v>101</v>
      </c>
      <c r="B2" t="str">
        <v>Juan Demo</v>
      </c>
      <c r="C2" t="str">
        <v/>
      </c>
      <c r="D2" t="str">
        <v>dpto101@ejemplo.com</v>
      </c>
      <c r="E2" t="str">
        <v/>
      </c>
    </row>
    <row r="3">
      <c r="A3">
        <v>102</v>
      </c>
      <c r="B3" t="str">
        <v>María Ejemplo</v>
      </c>
      <c r="C3" t="str">
        <v/>
      </c>
      <c r="D3" t="str">
        <v>dpto102@ejemplo.com, inquilino102@ejemplo.com</v>
      </c>
      <c r="E3" t="str">
        <v/>
      </c>
    </row>
    <row r="4">
      <c r="A4">
        <v>201</v>
      </c>
      <c r="B4" t="str">
        <v>Pedro Prueba</v>
      </c>
      <c r="C4" t="str">
        <v/>
      </c>
      <c r="D4" t="str">
        <v>dpto201@ejemplo.com</v>
      </c>
      <c r="E4" t="str">
        <v/>
      </c>
    </row>
    <row r="5">
      <c r="A5">
        <v>202</v>
      </c>
      <c r="B5" t="str">
        <v>Lucía Sample</v>
      </c>
      <c r="C5" t="str">
        <v/>
      </c>
      <c r="D5" t="str">
        <v>dpto202@ejemplo.com</v>
      </c>
      <c r="E5" t="str">
        <v/>
      </c>
    </row>
    <row r="6">
      <c r="A6">
        <v>301</v>
      </c>
      <c r="B6" t="str">
        <v>Carlos Ficticio</v>
      </c>
      <c r="C6" t="str">
        <v/>
      </c>
      <c r="D6" t="str">
        <v>dpto301@ejemplo.com</v>
      </c>
      <c r="E6" t="str">
        <v/>
      </c>
    </row>
    <row r="7">
      <c r="A7">
        <v>302</v>
      </c>
      <c r="B7" t="str">
        <v>Sofía Modelo</v>
      </c>
      <c r="C7" t="str">
        <v/>
      </c>
      <c r="D7" t="str">
        <v>dpto302@ejemplo.com</v>
      </c>
      <c r="E7" t="str">
        <v/>
      </c>
    </row>
    <row r="8">
      <c r="A8">
        <v>401</v>
      </c>
      <c r="B8" t="str">
        <v>Diego Ensayo</v>
      </c>
      <c r="C8" t="str">
        <v/>
      </c>
      <c r="D8" t="str">
        <v>dpto401@ejemplo.com</v>
      </c>
      <c r="E8" t="str">
        <v/>
      </c>
    </row>
    <row r="9">
      <c r="A9">
        <v>402</v>
      </c>
      <c r="B9" t="str">
        <v>Elena Dummy</v>
      </c>
      <c r="C9" t="str">
        <v/>
      </c>
      <c r="D9" t="str">
        <v>dpto402@ejemplo.com</v>
      </c>
      <c r="E9" t="str">
        <v/>
      </c>
    </row>
    <row r="10">
      <c r="A10">
        <v>501</v>
      </c>
      <c r="B10" t="str">
        <v>Miguel Test</v>
      </c>
      <c r="C10" t="str">
        <v/>
      </c>
      <c r="D10" t="str">
        <v>dpto501@ejemplo.com</v>
      </c>
      <c r="E10" t="str">
        <v/>
      </c>
    </row>
    <row r="11">
      <c r="A11">
        <v>502</v>
      </c>
      <c r="B11" t="str">
        <v>Laura Muestra</v>
      </c>
      <c r="C11" t="str">
        <v/>
      </c>
      <c r="D11" t="str">
        <v>dpto502@ejemplo.com</v>
      </c>
      <c r="E11" t="str">
        <v/>
      </c>
    </row>
  </sheetData>
  <ignoredErrors>
    <ignoredError numberStoredAsText="1" sqref="A1:E1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G1"/>
  <sheetViews>
    <sheetView workbookViewId="0"/>
  </sheetViews>
  <sheetData>
    <row r="1">
      <c r="A1" t="str">
        <v>Mes (AAAA-MM)</v>
      </c>
      <c r="B1" t="str">
        <v>Unidad</v>
      </c>
      <c r="C1" t="str">
        <v>Lectura anterior (m³)</v>
      </c>
      <c r="D1" t="str">
        <v>Lectura actual (m³)</v>
      </c>
      <c r="E1" t="str">
        <v>Consumo m³</v>
      </c>
      <c r="F1" t="str">
        <v>Foto del medidor (archivo)</v>
      </c>
      <c r="G1" t="str">
        <v>Observación</v>
      </c>
    </row>
  </sheetData>
  <ignoredErrors>
    <ignoredError numberStoredAsText="1" sqref="A1:G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H1"/>
  <sheetViews>
    <sheetView workbookViewId="0"/>
  </sheetViews>
  <sheetData>
    <row r="1">
      <c r="A1" t="str">
        <v>Mes (AAAA-MM)</v>
      </c>
      <c r="B1" t="str">
        <v>Fecha de emisión</v>
      </c>
      <c r="C1" t="str">
        <v>Fecha de vencimiento</v>
      </c>
      <c r="D1" t="str">
        <v>Agua: importe total recibo</v>
      </c>
      <c r="E1" t="str">
        <v>Agua: m³ facturados</v>
      </c>
      <c r="F1" t="str">
        <v>Luz: importe total recibo</v>
      </c>
      <c r="G1" t="str">
        <v>Archivos</v>
      </c>
      <c r="H1" t="str">
        <v>Notas</v>
      </c>
    </row>
  </sheetData>
  <ignoredErrors>
    <ignoredError numberStoredAsText="1" sqref="A1:H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G1"/>
  <sheetViews>
    <sheetView workbookViewId="0"/>
  </sheetViews>
  <sheetData>
    <row r="1">
      <c r="A1" t="str">
        <v>Mes (AAAA-MM)</v>
      </c>
      <c r="B1" t="str">
        <v>#</v>
      </c>
      <c r="C1" t="str">
        <v>Concepto (tal como sale en el recibo)</v>
      </c>
      <c r="D1" t="str">
        <v>Monto total edificio</v>
      </c>
      <c r="E1" t="str">
        <v>Tipo</v>
      </c>
      <c r="F1" t="str">
        <v>¿Copiar al mes siguiente?</v>
      </c>
      <c r="G1" t="str">
        <v>Notas</v>
      </c>
    </row>
  </sheetData>
  <ignoredErrors>
    <ignoredError numberStoredAsText="1" sqref="A1:G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E1"/>
  <sheetViews>
    <sheetView workbookViewId="0"/>
  </sheetViews>
  <sheetData>
    <row r="1">
      <c r="A1" t="str">
        <v>Mes (AAAA-MM)</v>
      </c>
      <c r="B1" t="str">
        <v>Unidad</v>
      </c>
      <c r="C1" t="str">
        <v>Concepto (sale en el recibo)</v>
      </c>
      <c r="D1" t="str">
        <v>Monto (+ cargo / − crédito)</v>
      </c>
      <c r="E1" t="str">
        <v>Notas</v>
      </c>
    </row>
  </sheetData>
  <ignoredErrors>
    <ignoredError numberStoredAsText="1" sqref="A1:E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Data>
    <row r="1">
      <c r="A1" t="str">
        <v>Mes (AAAA-MM)</v>
      </c>
      <c r="B1" t="str">
        <v>Saldo anterior</v>
      </c>
      <c r="C1" t="str">
        <v>Aporte del mes</v>
      </c>
      <c r="D1" t="str">
        <v>(−) Gastos pagados con el fondo</v>
      </c>
      <c r="E1" t="str">
        <v>Saldo final</v>
      </c>
      <c r="F1" t="str">
        <v>Detalle de gastos del fondo</v>
      </c>
    </row>
  </sheetData>
  <ignoredErrors>
    <ignoredError numberStoredAsText="1" sqref="A1:F1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I1"/>
  <sheetViews>
    <sheetView workbookViewId="0"/>
  </sheetViews>
  <cols>
    <col min="1" max="1" width="14.83203125" customWidth="1"/>
    <col min="2" max="2" width="8.83203125" customWidth="1"/>
    <col min="3" max="3" width="14.83203125" customWidth="1"/>
    <col min="4" max="4" width="14.83203125" customWidth="1"/>
    <col min="5" max="5" width="14.83203125" customWidth="1"/>
    <col min="6" max="6" width="14.83203125" customWidth="1"/>
    <col min="7" max="7" width="24.83203125" customWidth="1"/>
    <col min="8" max="8" width="12.83203125" customWidth="1"/>
    <col min="9" max="9" width="30.83203125" customWidth="1"/>
  </cols>
  <sheetData>
    <row r="1">
      <c r="A1" t="str">
        <v>Mes de la cuota (AAAA-MM)</v>
      </c>
      <c r="B1" t="str">
        <v>Unidad</v>
      </c>
      <c r="C1" t="str">
        <v>Fecha de pago</v>
      </c>
      <c r="D1" t="str">
        <v>Monto pagado</v>
      </c>
      <c r="E1" t="str">
        <v>Medio</v>
      </c>
      <c r="F1" t="str">
        <v>N° operación</v>
      </c>
      <c r="G1" t="str">
        <v>Comprobante</v>
      </c>
      <c r="H1" t="str">
        <v>¿Verificado?</v>
      </c>
      <c r="I1" t="str">
        <v>Notas</v>
      </c>
    </row>
  </sheetData>
  <ignoredErrors>
    <ignoredError numberStoredAsText="1" sqref="A1:I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Mes a facturar</vt:lpstr>
      <vt:lpstr>Instrucciones</vt:lpstr>
      <vt:lpstr>Config</vt:lpstr>
      <vt:lpstr>Departamentos</vt:lpstr>
      <vt:lpstr>Lecturas</vt:lpstr>
      <vt:lpstr>Servicios</vt:lpstr>
      <vt:lpstr>Gastos</vt:lpstr>
      <vt:lpstr>Ajustes</vt:lpstr>
      <vt:lpstr>Fondo</vt:lpstr>
      <vt:lpstr>Pagos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